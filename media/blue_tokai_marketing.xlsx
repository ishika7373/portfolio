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 Tokai " sheetId="1" r:id="rId5"/>
    <sheet state="hidden" name="Sheet2" sheetId="2" r:id="rId6"/>
  </sheets>
  <definedNames/>
  <calcPr/>
</workbook>
</file>

<file path=xl/sharedStrings.xml><?xml version="1.0" encoding="utf-8"?>
<sst xmlns="http://schemas.openxmlformats.org/spreadsheetml/2006/main" count="164" uniqueCount="147">
  <si>
    <t>Exhibit 1: People in Urban India who visit cafés at least 1+ times per week (2025)</t>
  </si>
  <si>
    <t>Metric</t>
  </si>
  <si>
    <t>Estimate</t>
  </si>
  <si>
    <t>Urban Population</t>
  </si>
  <si>
    <t>515M</t>
  </si>
  <si>
    <t>Income-qualified (middle + upper)</t>
  </si>
  <si>
    <t>206M</t>
  </si>
  <si>
    <t>Café-likely age groups</t>
  </si>
  <si>
    <t>91M</t>
  </si>
  <si>
    <t>Weekly café-goers</t>
  </si>
  <si>
    <t>~20M</t>
  </si>
  <si>
    <t>Exhibit 2: Café TAM/SAM/SOM for Blue Tokai</t>
  </si>
  <si>
    <t>Layer</t>
  </si>
  <si>
    <t>Updated 2025 Estimate</t>
  </si>
  <si>
    <t>In Mn</t>
  </si>
  <si>
    <t>TAM</t>
  </si>
  <si>
    <t>20M people</t>
  </si>
  <si>
    <t>SAM (People)</t>
  </si>
  <si>
    <t>Specialty café-goers</t>
  </si>
  <si>
    <t>4.4M – 6.4M (mid 5.4M)</t>
  </si>
  <si>
    <t>SAM (Revenue)</t>
  </si>
  <si>
    <t>Annual spend potential</t>
  </si>
  <si>
    <t>₹6,800–10,000 Cr</t>
  </si>
  <si>
    <t>SOM (Customer share)</t>
  </si>
  <si>
    <t>BT weekly reach</t>
  </si>
  <si>
    <t>162K – 248K weekly customers</t>
  </si>
  <si>
    <t>SOM (Revenue share)</t>
  </si>
  <si>
    <t>BT revenue vs SAM</t>
  </si>
  <si>
    <t>₹150–320 Cr</t>
  </si>
  <si>
    <t>Blue Tokai Cafes</t>
  </si>
  <si>
    <t>Website Listing Count</t>
  </si>
  <si>
    <t>183 cafes</t>
  </si>
  <si>
    <t>Suchali’s Bakehouse integrated Blue Tokai Cafes</t>
  </si>
  <si>
    <t>124 cafes</t>
  </si>
  <si>
    <t>Exhibit 3: Urban + Affluent + Health-Conscious people in India who go to cafés (≈1×/week)</t>
  </si>
  <si>
    <t>Population</t>
  </si>
  <si>
    <t>Urban India</t>
  </si>
  <si>
    <t>Affluent (18%)</t>
  </si>
  <si>
    <t>93M</t>
  </si>
  <si>
    <t>Health-conscious (40%)</t>
  </si>
  <si>
    <t>37M</t>
  </si>
  <si>
    <t>Weekly café-goers (25%)</t>
  </si>
  <si>
    <t>~9.3M</t>
  </si>
  <si>
    <t>Exhibit 4: Key Metrics of Blue Tokai Coffee Roaster: (Tracxn)</t>
  </si>
  <si>
    <t>Value</t>
  </si>
  <si>
    <t>Total Equity Funding (USD)</t>
  </si>
  <si>
    <t>₹884.28 Crores (across 12 rounds)</t>
  </si>
  <si>
    <t>Latest Funding Round</t>
  </si>
  <si>
    <t>₹215 Crores, Series D (Jun 26, 2025)</t>
  </si>
  <si>
    <t>Post-Money Valuation</t>
  </si>
  <si>
    <t>₹1,410 Crores as of Jun 26, 2025</t>
  </si>
  <si>
    <t>Investors</t>
  </si>
  <si>
    <t>Snow Leopard Ventures &amp; 66 more</t>
  </si>
  <si>
    <t>Annual Revenue</t>
  </si>
  <si>
    <t>₹221 Cr (as of Mar 31, 2024)</t>
  </si>
  <si>
    <t>Employee Count</t>
  </si>
  <si>
    <t>2.59K (as of May 31, 2025)</t>
  </si>
  <si>
    <t>Primary Competitors</t>
  </si>
  <si>
    <t>Third Wave, Starbucks, Tim Hortons, etc.</t>
  </si>
  <si>
    <t>Net Profit</t>
  </si>
  <si>
    <t>₹-62.9 Cr (as of Mar 31, 2024)</t>
  </si>
  <si>
    <t>Net Profit Margin</t>
  </si>
  <si>
    <t>-28.45% (as of Mar 31, 2024)</t>
  </si>
  <si>
    <t>Top Shareholder(s)</t>
  </si>
  <si>
    <t>Verlinvest (13.3%) as of Sep 03, 2025</t>
  </si>
  <si>
    <t xml:space="preserve">GTM Financial Summary </t>
  </si>
  <si>
    <t>Current State (Status Quo)</t>
  </si>
  <si>
    <t>Future State (Target)</t>
  </si>
  <si>
    <t>Impact / Delta</t>
  </si>
  <si>
    <t>Visit Frequency (visit/ week)</t>
  </si>
  <si>
    <t>Food Attachment</t>
  </si>
  <si>
    <t>Average Ticket Value (ATV) (In ₹)</t>
  </si>
  <si>
    <t>Weekly Revenue Per User (In ₹)</t>
  </si>
  <si>
    <t>₹300</t>
  </si>
  <si>
    <t>₹1,000</t>
  </si>
  <si>
    <t>3.3x Growth</t>
  </si>
  <si>
    <t>Monthly Revenue Per User (In ₹)</t>
  </si>
  <si>
    <t>₹1,200</t>
  </si>
  <si>
    <t>₹4,000</t>
  </si>
  <si>
    <t>--</t>
  </si>
  <si>
    <t>Annual Revenue (ARPU) (In ₹)</t>
  </si>
  <si>
    <t>Urban + Affluent + Health-Conscious people in India who go to cafés (≈1 times /week)</t>
  </si>
  <si>
    <t xml:space="preserve">Criteria </t>
  </si>
  <si>
    <t>Affluent (high disposable) (15%)</t>
  </si>
  <si>
    <t>TAM: Weekly café-goers (25%)</t>
  </si>
  <si>
    <t>SAM(acc to store count and location) (60%)</t>
  </si>
  <si>
    <t>SOM (assuming 5.5% brand level adoption</t>
  </si>
  <si>
    <t>SOM revenue (400 ATV and 52 yearly visits with 60% healthy orders )</t>
  </si>
  <si>
    <t>Finding</t>
  </si>
  <si>
    <t>Strategic Implication</t>
  </si>
  <si>
    <t>Current Performance</t>
  </si>
  <si>
    <t>Financial Impact</t>
  </si>
  <si>
    <t>Food Menu Engagement</t>
  </si>
  <si>
    <t>66.2% actively disengaged</t>
  </si>
  <si>
    <t>Current menu creates cognitive dissonance with brand</t>
  </si>
  <si>
    <t>Food Attachment Rate</t>
  </si>
  <si>
    <t>₹87 Cr annual food revenue (estimated)</t>
  </si>
  <si>
    <t>Functional Coffee Perception</t>
  </si>
  <si>
    <t>46.5% view coffee as productivity tool</t>
  </si>
  <si>
    <t>Audience primed for wellness positioning</t>
  </si>
  <si>
    <t>Average Ticket Value</t>
  </si>
  <si>
    <t>₹250</t>
  </si>
  <si>
    <t>Limited by coffee-only transactions</t>
  </si>
  <si>
    <t>Purchase Decision Tree</t>
  </si>
  <si>
    <t>Ingredients &gt; Macros &gt; Taste</t>
  </si>
  <si>
    <t>Complete inversion of traditional F&amp;B hierarchy</t>
  </si>
  <si>
    <t>Visit Frequency</t>
  </si>
  <si>
    <t>1.2x/week</t>
  </si>
  <si>
    <t>Ceiling due to lack of food relevance</t>
  </si>
  <si>
    <t>Visit Frequency Ceiling</t>
  </si>
  <si>
    <t>1.2x/week average</t>
  </si>
  <si>
    <t>Lack of food relevance limits habit formation</t>
  </si>
  <si>
    <t>Target Performance</t>
  </si>
  <si>
    <t>50% (+15pp)</t>
  </si>
  <si>
    <t>₹150 Cr incremental food revenue</t>
  </si>
  <si>
    <t>₹400 (+60%)</t>
  </si>
  <si>
    <t>Driven by “Performance” combo adoption</t>
  </si>
  <si>
    <t>2.5x/week (+108%)</t>
  </si>
  <si>
    <t>Habit integration via functional menu</t>
  </si>
  <si>
    <t>Dimension</t>
  </si>
  <si>
    <t>Starbucks / Third Wave</t>
  </si>
  <si>
    <t>Blue Tokai × TWT</t>
  </si>
  <si>
    <t>Competitive Advantage</t>
  </si>
  <si>
    <t>Coffee Positioning</t>
  </si>
  <si>
    <t>Mass Premium Standardization</t>
  </si>
  <si>
    <t>Specialty Farm-to-Cup Artisanal</t>
  </si>
  <si>
    <t>Single-origin traceability</t>
  </si>
  <si>
    <t>Food Philosophy</t>
  </si>
  <si>
    <t>Indulgent / High Calorie (450-700 cal)</t>
  </si>
  <si>
    <t>Functional / High Protein (20-30g)</t>
  </si>
  <si>
    <t>Macro-optimized for performance</t>
  </si>
  <si>
    <t>Ingredient Transparency</t>
  </si>
  <si>
    <t>Opaque / Hidden Additives</t>
  </si>
  <si>
    <t>Radical Transparency (#NothingToHide)</t>
  </si>
  <si>
    <t>Every ingredient sourced &amp; justified</t>
  </si>
  <si>
    <t>Use Case</t>
  </si>
  <si>
    <t>Social / Leisure (“Coffee Date”)</t>
  </si>
  <si>
    <t>Habit / Performance (“Fuel Stop”)</t>
  </si>
  <si>
    <t>3.2x weekly frequency potential</t>
  </si>
  <si>
    <t>Price Point (ATV)</t>
  </si>
  <si>
    <t>₹280-350</t>
  </si>
  <si>
    <t>₹400-500 (justified by functionality)</t>
  </si>
  <si>
    <t>Premium validated by wellness ROI</t>
  </si>
  <si>
    <t>Store Experience</t>
  </si>
  <si>
    <t>Transactional Efficiency</t>
  </si>
  <si>
    <t>Immersive Education (Brew methods + Nutrition)</t>
  </si>
  <si>
    <t>Behind-the-Brew storytelling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</si>
</sst>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1.0"/>
      <color rgb="FF000000"/>
      <name val="'Times New Roman'"/>
    </font>
    <font>
      <b/>
      <sz val="11.0"/>
      <color rgb="FF000000"/>
      <name val="'Times New Roman'"/>
    </font>
    <font>
      <sz val="11.0"/>
      <color rgb="FF000000"/>
      <name val="'Times New Roman'"/>
    </font>
    <font>
      <color theme="1"/>
      <name val="Arial"/>
      <scheme val="minor"/>
    </font>
    <font>
      <b/>
      <sz val="13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7" fillId="2" fontId="2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8" fillId="0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1" fillId="2" fontId="2" numFmtId="0" xfId="0" applyAlignment="1" applyBorder="1" applyFont="1">
      <alignment horizontal="left" readingOrder="0" shrinkToFit="0" wrapText="1"/>
    </xf>
    <xf borderId="7" fillId="2" fontId="2" numFmtId="0" xfId="0" applyAlignment="1" applyBorder="1" applyFont="1">
      <alignment horizontal="left" readingOrder="0" shrinkToFit="0" wrapText="1"/>
    </xf>
    <xf borderId="2" fillId="2" fontId="2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center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4" fillId="0" fontId="2" numFmtId="10" xfId="0" applyAlignment="1" applyBorder="1" applyFont="1" applyNumberFormat="1">
      <alignment horizontal="left" shrinkToFit="0" wrapText="1"/>
    </xf>
    <xf borderId="0" fillId="0" fontId="7" numFmtId="9" xfId="0" applyAlignment="1" applyFont="1" applyNumberFormat="1">
      <alignment horizontal="left" readingOrder="0" shrinkToFit="0" wrapText="1"/>
    </xf>
    <xf borderId="0" fillId="0" fontId="3" numFmtId="9" xfId="0" applyAlignment="1" applyFont="1" applyNumberFormat="1">
      <alignment horizontal="left" readingOrder="0" shrinkToFit="0" wrapText="1"/>
    </xf>
    <xf borderId="4" fillId="0" fontId="3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readingOrder="0" shrinkToFit="0" wrapText="1"/>
    </xf>
    <xf borderId="8" fillId="0" fontId="2" numFmtId="3" xfId="0" applyAlignment="1" applyBorder="1" applyFont="1" applyNumberFormat="1">
      <alignment horizontal="left" readingOrder="0" shrinkToFit="0" wrapText="1"/>
    </xf>
    <xf borderId="6" fillId="0" fontId="2" numFmtId="3" xfId="0" applyAlignment="1" applyBorder="1" applyFont="1" applyNumberFormat="1">
      <alignment horizontal="left" shrinkToFit="0" wrapText="1"/>
    </xf>
    <xf borderId="0" fillId="3" fontId="7" numFmtId="0" xfId="0" applyAlignment="1" applyFill="1" applyFont="1">
      <alignment horizontal="left" readingOrder="0"/>
    </xf>
    <xf borderId="0" fillId="3" fontId="4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2" numFmtId="10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2" numFmtId="3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38"/>
    <col customWidth="1" min="2" max="2" width="34.63"/>
    <col customWidth="1" min="3" max="3" width="19.6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5" t="s">
        <v>6</v>
      </c>
    </row>
    <row r="5">
      <c r="A5" s="4" t="s">
        <v>7</v>
      </c>
      <c r="B5" s="5" t="s">
        <v>8</v>
      </c>
    </row>
    <row r="6">
      <c r="A6" s="6" t="s">
        <v>9</v>
      </c>
      <c r="B6" s="7" t="s">
        <v>10</v>
      </c>
    </row>
    <row r="8">
      <c r="A8" s="1" t="s">
        <v>11</v>
      </c>
    </row>
    <row r="9">
      <c r="A9" s="2" t="s">
        <v>12</v>
      </c>
      <c r="B9" s="8" t="s">
        <v>1</v>
      </c>
      <c r="C9" s="3" t="s">
        <v>13</v>
      </c>
      <c r="D9" s="9" t="s">
        <v>14</v>
      </c>
    </row>
    <row r="10">
      <c r="A10" s="4" t="s">
        <v>15</v>
      </c>
      <c r="B10" s="10" t="s">
        <v>9</v>
      </c>
      <c r="C10" s="5" t="s">
        <v>16</v>
      </c>
    </row>
    <row r="11">
      <c r="A11" s="4" t="s">
        <v>17</v>
      </c>
      <c r="B11" s="10" t="s">
        <v>18</v>
      </c>
      <c r="C11" s="5" t="s">
        <v>19</v>
      </c>
      <c r="D11" s="11">
        <f>4.4/52</f>
        <v>0.08461538462</v>
      </c>
    </row>
    <row r="12">
      <c r="A12" s="4" t="s">
        <v>20</v>
      </c>
      <c r="B12" s="10" t="s">
        <v>21</v>
      </c>
      <c r="C12" s="5" t="s">
        <v>22</v>
      </c>
      <c r="D12" s="11">
        <f>6800/52</f>
        <v>130.7692308</v>
      </c>
    </row>
    <row r="13">
      <c r="A13" s="4" t="s">
        <v>23</v>
      </c>
      <c r="B13" s="10" t="s">
        <v>24</v>
      </c>
      <c r="C13" s="5" t="s">
        <v>25</v>
      </c>
    </row>
    <row r="14">
      <c r="A14" s="4" t="s">
        <v>26</v>
      </c>
      <c r="B14" s="10" t="s">
        <v>27</v>
      </c>
      <c r="C14" s="5" t="s">
        <v>28</v>
      </c>
    </row>
    <row r="15">
      <c r="A15" s="4" t="s">
        <v>29</v>
      </c>
      <c r="B15" s="10" t="s">
        <v>30</v>
      </c>
      <c r="C15" s="5" t="s">
        <v>31</v>
      </c>
    </row>
    <row r="16">
      <c r="A16" s="6" t="s">
        <v>32</v>
      </c>
      <c r="B16" s="12" t="s">
        <v>30</v>
      </c>
      <c r="C16" s="13" t="s">
        <v>33</v>
      </c>
    </row>
    <row r="18">
      <c r="A18" s="1" t="s">
        <v>34</v>
      </c>
    </row>
    <row r="19">
      <c r="A19" s="2" t="s">
        <v>12</v>
      </c>
      <c r="B19" s="3" t="s">
        <v>35</v>
      </c>
    </row>
    <row r="20">
      <c r="A20" s="4" t="s">
        <v>36</v>
      </c>
      <c r="B20" s="5" t="s">
        <v>4</v>
      </c>
    </row>
    <row r="21">
      <c r="A21" s="4" t="s">
        <v>37</v>
      </c>
      <c r="B21" s="5" t="s">
        <v>38</v>
      </c>
    </row>
    <row r="22">
      <c r="A22" s="4" t="s">
        <v>39</v>
      </c>
      <c r="B22" s="5" t="s">
        <v>40</v>
      </c>
    </row>
    <row r="23">
      <c r="A23" s="6" t="s">
        <v>41</v>
      </c>
      <c r="B23" s="7" t="s">
        <v>42</v>
      </c>
    </row>
    <row r="25">
      <c r="A25" s="1" t="s">
        <v>43</v>
      </c>
    </row>
    <row r="26">
      <c r="A26" s="2" t="s">
        <v>1</v>
      </c>
      <c r="B26" s="3" t="s">
        <v>44</v>
      </c>
    </row>
    <row r="27">
      <c r="A27" s="4" t="s">
        <v>45</v>
      </c>
      <c r="B27" s="5" t="s">
        <v>46</v>
      </c>
    </row>
    <row r="28">
      <c r="A28" s="4" t="s">
        <v>47</v>
      </c>
      <c r="B28" s="5" t="s">
        <v>48</v>
      </c>
    </row>
    <row r="29">
      <c r="A29" s="4" t="s">
        <v>49</v>
      </c>
      <c r="B29" s="5" t="s">
        <v>50</v>
      </c>
    </row>
    <row r="30">
      <c r="A30" s="4" t="s">
        <v>51</v>
      </c>
      <c r="B30" s="5" t="s">
        <v>52</v>
      </c>
    </row>
    <row r="31">
      <c r="A31" s="4" t="s">
        <v>53</v>
      </c>
      <c r="B31" s="5" t="s">
        <v>54</v>
      </c>
    </row>
    <row r="32">
      <c r="A32" s="4" t="s">
        <v>55</v>
      </c>
      <c r="B32" s="5" t="s">
        <v>56</v>
      </c>
    </row>
    <row r="33">
      <c r="A33" s="4" t="s">
        <v>57</v>
      </c>
      <c r="B33" s="5" t="s">
        <v>58</v>
      </c>
    </row>
    <row r="34">
      <c r="A34" s="4" t="s">
        <v>59</v>
      </c>
      <c r="B34" s="5" t="s">
        <v>60</v>
      </c>
    </row>
    <row r="35">
      <c r="A35" s="4" t="s">
        <v>61</v>
      </c>
      <c r="B35" s="5" t="s">
        <v>62</v>
      </c>
    </row>
    <row r="36">
      <c r="A36" s="6" t="s">
        <v>63</v>
      </c>
      <c r="B36" s="13" t="s">
        <v>64</v>
      </c>
    </row>
    <row r="39">
      <c r="A39" s="14" t="s">
        <v>65</v>
      </c>
    </row>
    <row r="40">
      <c r="A40" s="15" t="s">
        <v>1</v>
      </c>
      <c r="B40" s="16" t="s">
        <v>66</v>
      </c>
      <c r="C40" s="16" t="s">
        <v>67</v>
      </c>
      <c r="D40" s="17" t="s">
        <v>68</v>
      </c>
      <c r="E40" s="18"/>
    </row>
    <row r="41">
      <c r="A41" s="19" t="s">
        <v>69</v>
      </c>
      <c r="B41" s="20">
        <v>1.2</v>
      </c>
      <c r="C41" s="20">
        <v>2.5</v>
      </c>
      <c r="D41" s="21">
        <f>(C41-B41)/B41</f>
        <v>1.083333333</v>
      </c>
      <c r="E41" s="22"/>
    </row>
    <row r="42">
      <c r="A42" s="19" t="s">
        <v>70</v>
      </c>
      <c r="B42" s="23">
        <v>0.35</v>
      </c>
      <c r="C42" s="23">
        <v>0.5</v>
      </c>
      <c r="D42" s="24">
        <f>+15%</f>
        <v>0.15</v>
      </c>
      <c r="E42" s="25"/>
    </row>
    <row r="43">
      <c r="A43" s="19" t="s">
        <v>71</v>
      </c>
      <c r="B43" s="26">
        <v>250.0</v>
      </c>
      <c r="C43" s="26">
        <v>400.0</v>
      </c>
      <c r="D43" s="24">
        <f>(C43-B43)/B43</f>
        <v>0.6</v>
      </c>
      <c r="E43" s="25"/>
    </row>
    <row r="44">
      <c r="A44" s="19" t="s">
        <v>72</v>
      </c>
      <c r="B44" s="26" t="s">
        <v>73</v>
      </c>
      <c r="C44" s="26" t="s">
        <v>74</v>
      </c>
      <c r="D44" s="27" t="s">
        <v>75</v>
      </c>
      <c r="E44" s="25"/>
    </row>
    <row r="45">
      <c r="A45" s="19" t="s">
        <v>76</v>
      </c>
      <c r="B45" s="26" t="s">
        <v>77</v>
      </c>
      <c r="C45" s="26" t="s">
        <v>78</v>
      </c>
      <c r="D45" s="28" t="s">
        <v>79</v>
      </c>
      <c r="E45" s="25"/>
    </row>
    <row r="46">
      <c r="A46" s="29" t="s">
        <v>80</v>
      </c>
      <c r="B46" s="30">
        <v>14400.0</v>
      </c>
      <c r="C46" s="30">
        <v>48000.0</v>
      </c>
      <c r="D46" s="31">
        <f>C46-B46</f>
        <v>33600</v>
      </c>
      <c r="E46" s="25"/>
    </row>
    <row r="49">
      <c r="A49" s="14" t="s">
        <v>81</v>
      </c>
    </row>
    <row r="50">
      <c r="A50" s="32" t="s">
        <v>82</v>
      </c>
      <c r="B50" s="33" t="s">
        <v>14</v>
      </c>
    </row>
    <row r="51">
      <c r="A51" s="34" t="s">
        <v>36</v>
      </c>
      <c r="B51" s="34">
        <v>515.0</v>
      </c>
    </row>
    <row r="52">
      <c r="A52" s="34" t="s">
        <v>83</v>
      </c>
      <c r="B52" s="34">
        <f>B51*15%</f>
        <v>77.25</v>
      </c>
    </row>
    <row r="53">
      <c r="A53" s="34" t="s">
        <v>39</v>
      </c>
      <c r="B53" s="34">
        <f>B52*0.4</f>
        <v>30.9</v>
      </c>
    </row>
    <row r="54">
      <c r="A54" s="34" t="s">
        <v>84</v>
      </c>
      <c r="B54" s="18">
        <f>B53*(0.25)</f>
        <v>7.725</v>
      </c>
      <c r="D54" s="20"/>
    </row>
    <row r="55">
      <c r="A55" s="34" t="s">
        <v>85</v>
      </c>
      <c r="B55" s="18">
        <f>B54*60%</f>
        <v>4.635</v>
      </c>
      <c r="D55" s="35"/>
    </row>
    <row r="56">
      <c r="A56" s="34" t="s">
        <v>86</v>
      </c>
      <c r="B56" s="18">
        <f>B55*0.055</f>
        <v>0.254925</v>
      </c>
      <c r="C56" s="20"/>
      <c r="D56" s="36"/>
    </row>
    <row r="57">
      <c r="A57" s="25" t="s">
        <v>87</v>
      </c>
      <c r="B57" s="18">
        <f>B56*400*52*0.6</f>
        <v>3181.464</v>
      </c>
      <c r="C57" s="20"/>
      <c r="D57" s="36"/>
    </row>
    <row r="58">
      <c r="A58" s="20"/>
      <c r="B58" s="26"/>
      <c r="C58" s="26"/>
      <c r="D58" s="20"/>
    </row>
    <row r="59">
      <c r="A59" s="20"/>
      <c r="B59" s="26"/>
      <c r="C59" s="26"/>
      <c r="D59" s="26"/>
    </row>
    <row r="60">
      <c r="A60" s="20"/>
      <c r="B60" s="37"/>
      <c r="C60" s="37"/>
      <c r="D60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C1" s="39" t="s">
        <v>1</v>
      </c>
      <c r="D1" s="39" t="s">
        <v>88</v>
      </c>
      <c r="E1" s="39" t="s">
        <v>89</v>
      </c>
      <c r="G1" s="20" t="s">
        <v>1</v>
      </c>
      <c r="H1" s="20" t="s">
        <v>90</v>
      </c>
      <c r="I1" s="20" t="s">
        <v>91</v>
      </c>
    </row>
    <row r="2">
      <c r="C2" s="39" t="s">
        <v>92</v>
      </c>
      <c r="D2" s="10" t="s">
        <v>93</v>
      </c>
      <c r="E2" s="10" t="s">
        <v>94</v>
      </c>
      <c r="G2" s="26" t="s">
        <v>95</v>
      </c>
      <c r="H2" s="23">
        <v>0.35</v>
      </c>
      <c r="I2" s="26" t="s">
        <v>96</v>
      </c>
    </row>
    <row r="3">
      <c r="C3" s="39" t="s">
        <v>97</v>
      </c>
      <c r="D3" s="10" t="s">
        <v>98</v>
      </c>
      <c r="E3" s="10" t="s">
        <v>99</v>
      </c>
      <c r="G3" s="26" t="s">
        <v>100</v>
      </c>
      <c r="H3" s="26" t="s">
        <v>101</v>
      </c>
      <c r="I3" s="26" t="s">
        <v>102</v>
      </c>
    </row>
    <row r="4">
      <c r="C4" s="39" t="s">
        <v>103</v>
      </c>
      <c r="D4" s="10" t="s">
        <v>104</v>
      </c>
      <c r="E4" s="10" t="s">
        <v>105</v>
      </c>
      <c r="G4" s="26" t="s">
        <v>106</v>
      </c>
      <c r="H4" s="26" t="s">
        <v>107</v>
      </c>
      <c r="I4" s="26" t="s">
        <v>108</v>
      </c>
    </row>
    <row r="5">
      <c r="C5" s="39" t="s">
        <v>109</v>
      </c>
      <c r="D5" s="10" t="s">
        <v>110</v>
      </c>
      <c r="E5" s="10" t="s">
        <v>111</v>
      </c>
      <c r="G5" s="40"/>
      <c r="H5" s="40"/>
      <c r="I5" s="40"/>
    </row>
    <row r="6">
      <c r="G6" s="39" t="s">
        <v>1</v>
      </c>
      <c r="H6" s="39" t="s">
        <v>112</v>
      </c>
      <c r="I6" s="39" t="s">
        <v>91</v>
      </c>
    </row>
    <row r="7">
      <c r="G7" s="10" t="s">
        <v>95</v>
      </c>
      <c r="H7" s="39" t="s">
        <v>113</v>
      </c>
      <c r="I7" s="39" t="s">
        <v>114</v>
      </c>
    </row>
    <row r="8">
      <c r="G8" s="10" t="s">
        <v>100</v>
      </c>
      <c r="H8" s="39" t="s">
        <v>115</v>
      </c>
      <c r="I8" s="10" t="s">
        <v>116</v>
      </c>
    </row>
    <row r="9">
      <c r="G9" s="10" t="s">
        <v>106</v>
      </c>
      <c r="H9" s="39" t="s">
        <v>117</v>
      </c>
      <c r="I9" s="10" t="s">
        <v>118</v>
      </c>
    </row>
    <row r="14">
      <c r="C14" s="39" t="s">
        <v>119</v>
      </c>
      <c r="D14" s="39" t="s">
        <v>120</v>
      </c>
      <c r="E14" s="39" t="s">
        <v>121</v>
      </c>
      <c r="F14" s="39" t="s">
        <v>122</v>
      </c>
    </row>
    <row r="15">
      <c r="C15" s="39" t="s">
        <v>123</v>
      </c>
      <c r="D15" s="10" t="s">
        <v>124</v>
      </c>
      <c r="E15" s="10" t="s">
        <v>125</v>
      </c>
      <c r="F15" s="39" t="s">
        <v>126</v>
      </c>
    </row>
    <row r="16">
      <c r="C16" s="39" t="s">
        <v>127</v>
      </c>
      <c r="D16" s="10" t="s">
        <v>128</v>
      </c>
      <c r="E16" s="10" t="s">
        <v>129</v>
      </c>
      <c r="F16" s="39" t="s">
        <v>130</v>
      </c>
    </row>
    <row r="17">
      <c r="C17" s="39" t="s">
        <v>131</v>
      </c>
      <c r="D17" s="10" t="s">
        <v>132</v>
      </c>
      <c r="E17" s="10" t="s">
        <v>133</v>
      </c>
      <c r="F17" s="39" t="s">
        <v>134</v>
      </c>
    </row>
    <row r="18">
      <c r="C18" s="39" t="s">
        <v>135</v>
      </c>
      <c r="D18" s="10" t="s">
        <v>136</v>
      </c>
      <c r="E18" s="10" t="s">
        <v>137</v>
      </c>
      <c r="F18" s="39" t="s">
        <v>138</v>
      </c>
    </row>
    <row r="19">
      <c r="C19" s="39" t="s">
        <v>139</v>
      </c>
      <c r="D19" s="10" t="s">
        <v>140</v>
      </c>
      <c r="E19" s="10" t="s">
        <v>141</v>
      </c>
      <c r="F19" s="39" t="s">
        <v>142</v>
      </c>
    </row>
    <row r="20">
      <c r="C20" s="39" t="s">
        <v>143</v>
      </c>
      <c r="D20" s="10" t="s">
        <v>144</v>
      </c>
      <c r="E20" s="10" t="s">
        <v>145</v>
      </c>
      <c r="F20" s="39" t="s">
        <v>146</v>
      </c>
    </row>
  </sheetData>
  <drawing r:id="rId1"/>
</worksheet>
</file>